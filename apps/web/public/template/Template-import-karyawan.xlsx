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ACP" sheetId="1" r:id="rId1"/>
  </sheets>
  <calcPr fullCalcOnLoad="1"/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/>
  </borders>
  <cellStyleXfs count="1">
    <xf/>
  </cellStyleXfs>
  <cellXfs count="3">
    <xf/>
    <xf numFmtId="15" applyNumberFormat="1"/>
    <xf fontId="1" applyFont="1" applyAlignment="1">
      <alignment wrapText="1" vertical="center" horizontal="center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xSplit="5" ySplit="5" topLeftCell="F6" activePane="bottomRight" state="frozen"/>
    </sheetView>
  </sheetViews>
  <cols>
    <col min="1" max="1" width="16" customWidth="1"/>
    <col min="2" max="2" width="16" customWidth="1"/>
    <col min="3" max="3" width="16" customWidth="1"/>
    <col min="4" max="4" width="26" customWidth="1"/>
    <col min="5" max="5" width="16" customWidth="1"/>
    <col min="6" max="6" width="16" customWidth="1"/>
    <col min="7" max="7" width="16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16" customWidth="1"/>
    <col min="16" max="16" width="16" customWidth="1"/>
    <col min="17" max="17" width="16" customWidth="1"/>
    <col min="18" max="18" width="16" customWidth="1"/>
    <col min="19" max="19" width="16" customWidth="1"/>
    <col min="20" max="20" width="16" customWidth="1"/>
    <col min="21" max="21" width="16" customWidth="1"/>
    <col min="22" max="22" width="16" customWidth="1"/>
    <col min="23" max="23" width="16" customWidth="1"/>
    <col min="24" max="24" width="16" customWidth="1"/>
    <col min="25" max="25" width="16" customWidth="1"/>
    <col min="26" max="26" width="16" customWidth="1"/>
    <col min="27" max="27" width="16" customWidth="1"/>
    <col min="28" max="28" width="16" customWidth="1"/>
    <col min="29" max="29" width="16" customWidth="1"/>
    <col min="30" max="30" width="16" customWidth="1"/>
    <col min="31" max="31" width="16" customWidth="1"/>
    <col min="32" max="32" width="16" customWidth="1"/>
    <col min="33" max="33" width="16" customWidth="1"/>
    <col min="34" max="34" width="16" customWidth="1"/>
    <col min="35" max="35" width="16" customWidth="1"/>
    <col min="36" max="36" width="16" customWidth="1"/>
    <col min="37" max="37" width="16" customWidth="1"/>
  </cols>
  <sheetData>
    <row r="2">
      <c r="C2" t="inlineStr">
        <is>
          <t xml:space="preserve">MASTER DATA KARYAWAN PT. CONTOH GRUP (DATA DUMMY)</t>
        </is>
      </c>
    </row>
    <row r="4">
      <c r="B4" t="inlineStr">
        <is>
          <t xml:space="preserve">Control</t>
        </is>
      </c>
      <c r="D4">
        <f>COUNTA(D6:D60)/C14</f>
        <v>1</v>
      </c>
      <c r="E4">
        <f>COUNTA(E6:E60)/C14</f>
        <v>1</v>
      </c>
      <c r="F4">
        <f>COUNTA(F6:F60)/C14</f>
        <v>1</v>
      </c>
      <c r="G4">
        <f>COUNTA(G6:G60)/C14</f>
        <v>1</v>
      </c>
      <c r="H4">
        <f>COUNTA(H6:H60)/C14</f>
        <v>1</v>
      </c>
      <c r="I4">
        <f>COUNTA(I6:I60)/C14</f>
        <v>1</v>
      </c>
      <c r="J4">
        <f>COUNTA(J6:J60)/C14</f>
        <v>1</v>
      </c>
      <c r="K4">
        <f>COUNTA(K6:K60)/C14</f>
        <v>1</v>
      </c>
      <c r="L4">
        <f>COUNTA(L6:L60)/C14</f>
        <v>1</v>
      </c>
      <c r="M4">
        <f>COUNTA(M6:M60)/C14</f>
        <v>1</v>
      </c>
      <c r="N4">
        <f>COUNTA(N6:N60)/C14</f>
        <v>1</v>
      </c>
      <c r="O4">
        <f>COUNTA(O6:O60)/C14</f>
        <v>1</v>
      </c>
      <c r="P4">
        <f>COUNTA(P6:P60)/C14</f>
        <v>1</v>
      </c>
      <c r="Q4">
        <f>COUNTA(Q6:Q60)/C14</f>
        <v>1</v>
      </c>
      <c r="R4">
        <f>COUNTA(R6:R60)/C14</f>
        <v>1</v>
      </c>
      <c r="S4">
        <f>COUNTA(S6:S60)/C14</f>
        <v>1</v>
      </c>
      <c r="T4">
        <f>COUNTA(T6:T60)/C14</f>
        <v>1</v>
      </c>
      <c r="U4">
        <f>COUNTA(U6:U60)/C14</f>
        <v>1</v>
      </c>
      <c r="V4">
        <f>COUNTA(V6:V60)/C14</f>
        <v>1</v>
      </c>
      <c r="W4">
        <f>COUNTA(W6:W60)/C14</f>
        <v>1</v>
      </c>
      <c r="X4">
        <f>COUNTA(X6:X60)/C14</f>
        <v>1</v>
      </c>
      <c r="Y4">
        <f>COUNTA(Y6:Y60)/C14</f>
        <v>1</v>
      </c>
      <c r="Z4">
        <f>COUNTA(Z6:Z60)/C14</f>
        <v>1</v>
      </c>
      <c r="AA4">
        <f>COUNTA(AA6:AA60)/C14</f>
        <v>1</v>
      </c>
      <c r="AB4">
        <f>COUNTA(AB6:AB60)/C14</f>
        <v>1</v>
      </c>
      <c r="AC4">
        <f>COUNTA(AC6:AC60)/C14</f>
        <v>1</v>
      </c>
      <c r="AD4">
        <f>COUNTA(AD6:AD60)/C14</f>
        <v>1</v>
      </c>
      <c r="AE4">
        <f>COUNTA(AE6:AE60)/C14</f>
        <v>1</v>
      </c>
      <c r="AF4">
        <f>COUNTA(AF6:AF60)/C14</f>
        <v>1</v>
      </c>
      <c r="AG4">
        <f>COUNTA(AG6:AG60)/C14</f>
        <v>1</v>
      </c>
      <c r="AH4">
        <f>COUNTA(AH6:AH60)/C14</f>
        <v>1</v>
      </c>
      <c r="AI4">
        <f>COUNTA(AI6:AI60)/C14</f>
        <v>1</v>
      </c>
      <c r="AJ4">
        <f>COUNTA(AJ6:AJ60)/C14</f>
        <v>1</v>
      </c>
      <c r="AK4">
        <f>COUNTA(AK6:AK60)/C14</f>
        <v>1</v>
      </c>
    </row>
    <row r="5">
      <c r="A5" t="inlineStr" s="2">
        <is>
          <t xml:space="preserve">Keterangan</t>
        </is>
      </c>
      <c r="B5" t="inlineStr" s="2">
        <is>
          <t xml:space="preserve">Tgl Resign</t>
        </is>
      </c>
      <c r="C5" t="inlineStr" s="2">
        <is>
          <t xml:space="preserve">NO</t>
        </is>
      </c>
      <c r="D5" t="inlineStr" s="2">
        <is>
          <t xml:space="preserve">NAMA</t>
        </is>
      </c>
      <c r="E5" t="inlineStr" s="2">
        <is>
          <t xml:space="preserve">NIK</t>
        </is>
      </c>
      <c r="F5" t="inlineStr" s="2">
        <is>
          <t xml:space="preserve">JOIN DATE</t>
        </is>
      </c>
      <c r="G5" t="inlineStr" s="2">
        <is>
          <t xml:space="preserve">END OF DATE</t>
        </is>
      </c>
      <c r="H5" t="inlineStr" s="2">
        <is>
          <t xml:space="preserve">LAMA KERJA</t>
        </is>
      </c>
      <c r="I5" t="inlineStr" s="2">
        <is>
          <t xml:space="preserve">MASA AKTIF</t>
        </is>
      </c>
      <c r="J5" t="inlineStr" s="2">
        <is>
          <t xml:space="preserve">STATUS MASA
KONTRAK KARYAWAN</t>
        </is>
      </c>
      <c r="K5" t="inlineStr" s="2">
        <is>
          <t xml:space="preserve">STATUS KARYAWAN</t>
        </is>
      </c>
      <c r="L5" t="inlineStr" s="2">
        <is>
          <t xml:space="preserve">JABATAN</t>
        </is>
      </c>
      <c r="M5" t="inlineStr" s="2">
        <is>
          <t xml:space="preserve">DIVISI / DEPARTEMENT</t>
        </is>
      </c>
      <c r="N5" t="inlineStr" s="2">
        <is>
          <t xml:space="preserve">KOTA PENEMPATAN</t>
        </is>
      </c>
      <c r="O5" t="inlineStr" s="2">
        <is>
          <t xml:space="preserve">PERUSAHAAN
(PNR / RCE / RDA / ACP / AU / NMA)</t>
        </is>
      </c>
      <c r="P5" t="inlineStr" s="2">
        <is>
          <t xml:space="preserve">PENEMPATAN LOKASI KERJA</t>
        </is>
      </c>
      <c r="Q5" t="inlineStr" s="2">
        <is>
          <t xml:space="preserve">TEMPAT LAHIR</t>
        </is>
      </c>
      <c r="R5" t="inlineStr" s="2">
        <is>
          <t xml:space="preserve">TGL LAHIR</t>
        </is>
      </c>
      <c r="S5" t="inlineStr" s="2">
        <is>
          <t xml:space="preserve">USIA</t>
        </is>
      </c>
      <c r="T5" t="inlineStr" s="2">
        <is>
          <t xml:space="preserve">KOTA ASAL</t>
        </is>
      </c>
      <c r="U5" t="inlineStr" s="2">
        <is>
          <t xml:space="preserve">STATUS</t>
        </is>
      </c>
      <c r="V5" t="inlineStr" s="2">
        <is>
          <t xml:space="preserve">Grade</t>
        </is>
      </c>
      <c r="W5" t="inlineStr" s="2">
        <is>
          <t xml:space="preserve">NO. TELP E-CONT</t>
        </is>
      </c>
      <c r="X5" t="inlineStr" s="2">
        <is>
          <t xml:space="preserve">HUBUNGAN E-CONT</t>
        </is>
      </c>
      <c r="Y5" t="inlineStr" s="2">
        <is>
          <t xml:space="preserve">AGAMA</t>
        </is>
      </c>
      <c r="Z5" t="inlineStr" s="2">
        <is>
          <t xml:space="preserve">JENIS KELAMIN</t>
        </is>
      </c>
      <c r="AA5" t="inlineStr" s="2">
        <is>
          <t xml:space="preserve">PENDIDIKAN</t>
        </is>
      </c>
      <c r="AB5" t="inlineStr" s="2">
        <is>
          <t xml:space="preserve">NO. TLP HP</t>
        </is>
      </c>
      <c r="AC5" t="inlineStr" s="2">
        <is>
          <t xml:space="preserve">NO. KTP</t>
        </is>
      </c>
      <c r="AD5" t="inlineStr" s="2">
        <is>
          <t xml:space="preserve">NO. NPWP</t>
        </is>
      </c>
      <c r="AE5" t="inlineStr" s="2">
        <is>
          <t xml:space="preserve">ID BPJS KETENAGAKERJAAN</t>
        </is>
      </c>
      <c r="AF5" t="inlineStr" s="2">
        <is>
          <t xml:space="preserve">ID BPJS KESEHATAN</t>
        </is>
      </c>
      <c r="AG5" t="inlineStr" s="2">
        <is>
          <t xml:space="preserve">NOMOR OFFERING</t>
        </is>
      </c>
      <c r="AH5" t="inlineStr" s="2">
        <is>
          <t xml:space="preserve">NO. REKENING</t>
        </is>
      </c>
      <c r="AI5" t="inlineStr" s="2">
        <is>
          <t xml:space="preserve">NAMA BANK</t>
        </is>
      </c>
      <c r="AJ5" t="inlineStr" s="2">
        <is>
          <t xml:space="preserve">ALAMAT KTP</t>
        </is>
      </c>
      <c r="AK5" t="inlineStr" s="2">
        <is>
          <t xml:space="preserve">ALAMAT DOMISILI</t>
        </is>
      </c>
    </row>
    <row r="6" hidden="1">
      <c r="A6" t="inlineStr">
        <is>
          <t xml:space="preserve">RESIGN </t>
        </is>
      </c>
      <c r="B6" s="1">
        <v>46173</v>
      </c>
      <c r="C6">
        <f>ROW()-5</f>
        <v>1</v>
      </c>
      <c r="D6" t="inlineStr">
        <is>
          <t xml:space="preserve">Contoh Resign Satu</t>
        </is>
      </c>
      <c r="E6" t="inlineStr">
        <is>
          <t xml:space="preserve">2401.ACP.901</t>
        </is>
      </c>
      <c r="F6" s="1">
        <v>45346</v>
      </c>
      <c r="G6" t="inlineStr">
        <is>
          <t xml:space="preserve">Permanent</t>
        </is>
      </c>
      <c r="H6">
        <f>IF(F6="","-",(TODAY()-F6)/365)</f>
        <v>2.6</v>
      </c>
      <c r="I6" t="str">
        <f>IF(G6="permanent","permanent",TODAY()-G6)</f>
        <v>permanent</v>
      </c>
      <c r="J6" t="str">
        <f>IF(I6="permanent","permanent",IF(AND(I6&lt;0),"aktif","expired"))</f>
        <v>permanent</v>
      </c>
      <c r="L6" t="inlineStr">
        <is>
          <t xml:space="preserve">Security</t>
        </is>
      </c>
      <c r="M6" t="inlineStr">
        <is>
          <t xml:space="preserve">HRGA</t>
        </is>
      </c>
      <c r="N6" t="inlineStr">
        <is>
          <t xml:space="preserve">Kalimantan Tengah</t>
        </is>
      </c>
      <c r="O6" t="inlineStr">
        <is>
          <t xml:space="preserve">ACP</t>
        </is>
      </c>
      <c r="P6" t="str">
        <f>N6</f>
        <v>Kalimantan Tengah</v>
      </c>
      <c r="S6" t="str">
        <f>IF(R6="","-",(TODAY()-R6)/365)</f>
        <v>-</v>
      </c>
    </row>
    <row r="7" hidden="1">
      <c r="A7" t="inlineStr">
        <is>
          <t xml:space="preserve">RESIGN</t>
        </is>
      </c>
      <c r="B7" s="1">
        <v>46173</v>
      </c>
      <c r="C7">
        <f>ROW()-5</f>
        <v>2</v>
      </c>
      <c r="D7" t="inlineStr">
        <is>
          <t xml:space="preserve">Contoh Resign Dua</t>
        </is>
      </c>
      <c r="E7" t="inlineStr">
        <is>
          <t xml:space="preserve">2402.ACP.902</t>
        </is>
      </c>
      <c r="F7" s="1">
        <v>45355</v>
      </c>
      <c r="G7" s="1">
        <v>45930</v>
      </c>
      <c r="H7">
        <f>IF(F7="","-",(TODAY()-F7)/365)</f>
        <v>2.58</v>
      </c>
      <c r="I7">
        <f>IF(G7="permanent","permanent",TODAY()-G7)</f>
        <v>365</v>
      </c>
      <c r="J7" t="str">
        <f>IF(I7="permanent","permanent",IF(AND(I7&lt;0),"aktif","expired"))</f>
        <v>expired</v>
      </c>
      <c r="K7" t="inlineStr">
        <is>
          <t xml:space="preserve">PKWT I - 6 Bulan</t>
        </is>
      </c>
      <c r="L7" t="inlineStr">
        <is>
          <t xml:space="preserve">Wellsite</t>
        </is>
      </c>
      <c r="M7" t="inlineStr">
        <is>
          <t xml:space="preserve">Engineering</t>
        </is>
      </c>
      <c r="N7" t="inlineStr">
        <is>
          <t xml:space="preserve">Kalimantan Tengah</t>
        </is>
      </c>
      <c r="O7" t="inlineStr">
        <is>
          <t xml:space="preserve">ACP</t>
        </is>
      </c>
      <c r="P7" t="str">
        <f>N7</f>
        <v>Kalimantan Tengah</v>
      </c>
      <c r="S7" t="str">
        <f>IF(R7="","-",(TODAY()-R7)/365)</f>
        <v>-</v>
      </c>
      <c r="Y7" t="inlineStr">
        <is>
          <t xml:space="preserve">Islam</t>
        </is>
      </c>
      <c r="Z7" t="inlineStr">
        <is>
          <t xml:space="preserve">Laki-Laki</t>
        </is>
      </c>
    </row>
    <row r="8">
      <c r="C8">
        <f>ROW()-5</f>
        <v>3</v>
      </c>
      <c r="D8" t="inlineStr">
        <is>
          <t xml:space="preserve">Budi Contoh Santoso</t>
        </is>
      </c>
      <c r="E8" t="inlineStr">
        <is>
          <t xml:space="preserve">2301.ACP.001</t>
        </is>
      </c>
      <c r="F8" s="1">
        <v>44935</v>
      </c>
      <c r="G8" t="inlineStr">
        <is>
          <t xml:space="preserve">Permanent</t>
        </is>
      </c>
      <c r="H8">
        <f>IF(F8="","-",(TODAY()-F8)/365)</f>
        <v>3.73</v>
      </c>
      <c r="I8" t="str">
        <f>IF(G8="permanent","permanent",TODAY()-G8)</f>
        <v>permanent</v>
      </c>
      <c r="J8" t="str">
        <f>IF(I8="permanent","permanent",IF(AND(I8&lt;0),"aktif","expired"))</f>
        <v>permanent</v>
      </c>
      <c r="L8" t="inlineStr">
        <is>
          <t xml:space="preserve">KTT ACP</t>
        </is>
      </c>
      <c r="M8" t="inlineStr">
        <is>
          <t xml:space="preserve">Management</t>
        </is>
      </c>
      <c r="N8" t="inlineStr">
        <is>
          <t xml:space="preserve">Kalimantan Tengah</t>
        </is>
      </c>
      <c r="O8" t="inlineStr">
        <is>
          <t xml:space="preserve">ACP</t>
        </is>
      </c>
      <c r="P8" t="str">
        <f>N8</f>
        <v>Kalimantan Tengah</v>
      </c>
      <c r="Q8" t="inlineStr">
        <is>
          <t xml:space="preserve">Palangka Raya</t>
        </is>
      </c>
      <c r="R8" s="1">
        <v>29353</v>
      </c>
      <c r="S8">
        <f>IF(R8="","-",(TODAY()-R8)/365)</f>
        <v>46.42</v>
      </c>
      <c r="U8" t="inlineStr">
        <is>
          <t xml:space="preserve">K/3</t>
        </is>
      </c>
      <c r="V8" t="inlineStr">
        <is>
          <t xml:space="preserve">4B</t>
        </is>
      </c>
      <c r="Y8" t="inlineStr">
        <is>
          <t xml:space="preserve">Islam</t>
        </is>
      </c>
      <c r="Z8" t="inlineStr">
        <is>
          <t xml:space="preserve">Laki-Laki</t>
        </is>
      </c>
      <c r="AA8" t="inlineStr">
        <is>
          <t xml:space="preserve">S2</t>
        </is>
      </c>
      <c r="AB8" t="inlineStr">
        <is>
          <t xml:space="preserve">081200009001</t>
        </is>
      </c>
      <c r="AC8" t="inlineStr">
        <is>
          <t xml:space="preserve">6271011205800001</t>
        </is>
      </c>
      <c r="AD8" t="inlineStr">
        <is>
          <t xml:space="preserve">09.901.901.1-017.000</t>
        </is>
      </c>
      <c r="AE8">
        <v>99000000001</v>
      </c>
      <c r="AF8" t="inlineStr">
        <is>
          <t xml:space="preserve">Terdaftar di BPJS 0009990000001</t>
        </is>
      </c>
      <c r="AG8" t="inlineStr">
        <is>
          <t xml:space="preserve">ACP.001.1/HRD/OL-IX/A-2023</t>
        </is>
      </c>
      <c r="AH8" t="inlineStr">
        <is>
          <t xml:space="preserve">9990000000001</t>
        </is>
      </c>
      <c r="AI8" t="inlineStr">
        <is>
          <t xml:space="preserve">Mandiri</t>
        </is>
      </c>
      <c r="AJ8" t="inlineStr">
        <is>
          <t xml:space="preserve">Jl. Contoh Tjilik Riwut Km 1, Palangka Raya</t>
        </is>
      </c>
      <c r="AK8" t="str">
        <f>AJ8</f>
        <v>Jl. Contoh Tjilik Riwut Km 1, Palangka Raya</v>
      </c>
    </row>
    <row r="9">
      <c r="C9">
        <f>ROW()-5</f>
        <v>4</v>
      </c>
      <c r="D9" t="inlineStr">
        <is>
          <t xml:space="preserve">Siti Contoh Aminah</t>
        </is>
      </c>
      <c r="E9" t="inlineStr">
        <is>
          <t xml:space="preserve">2305.ACP.014</t>
        </is>
      </c>
      <c r="F9" s="1">
        <v>45061</v>
      </c>
      <c r="G9" s="1">
        <v>46356</v>
      </c>
      <c r="H9">
        <f>IF(F9="","-",(TODAY()-F9)/365)</f>
        <v>3.38</v>
      </c>
      <c r="I9">
        <f>IF(G9="permanent","permanent",TODAY()-G9)</f>
        <v>-61</v>
      </c>
      <c r="J9" t="str">
        <f>IF(I9="permanent","permanent",IF(AND(I9&lt;0),"aktif","expired"))</f>
        <v>aktif</v>
      </c>
      <c r="K9" t="inlineStr">
        <is>
          <t xml:space="preserve">PKWT II - 1 Tahun</t>
        </is>
      </c>
      <c r="L9" t="inlineStr">
        <is>
          <t xml:space="preserve">Geologist</t>
        </is>
      </c>
      <c r="M9" t="inlineStr">
        <is>
          <t xml:space="preserve">Engineering</t>
        </is>
      </c>
      <c r="N9" t="inlineStr">
        <is>
          <t xml:space="preserve">Kalimantan Tengah</t>
        </is>
      </c>
      <c r="O9" t="inlineStr">
        <is>
          <t xml:space="preserve">ACP</t>
        </is>
      </c>
      <c r="P9" t="str">
        <f>N9</f>
        <v>Kalimantan Tengah</v>
      </c>
      <c r="Q9" t="inlineStr">
        <is>
          <t xml:space="preserve">Banjarmasin</t>
        </is>
      </c>
      <c r="R9" s="1">
        <v>34567</v>
      </c>
      <c r="S9">
        <f>IF(R9="","-",(TODAY()-R9)/365)</f>
        <v>32.13</v>
      </c>
      <c r="U9" t="inlineStr">
        <is>
          <t xml:space="preserve">TK/0</t>
        </is>
      </c>
      <c r="V9" t="inlineStr">
        <is>
          <t xml:space="preserve">3A</t>
        </is>
      </c>
      <c r="Y9" t="inlineStr">
        <is>
          <t xml:space="preserve">ISLAM</t>
        </is>
      </c>
      <c r="Z9" t="inlineStr">
        <is>
          <t xml:space="preserve">Perempuan</t>
        </is>
      </c>
      <c r="AA9" t="inlineStr">
        <is>
          <t xml:space="preserve">S1</t>
        </is>
      </c>
      <c r="AB9" t="inlineStr">
        <is>
          <t xml:space="preserve">6281200009002</t>
        </is>
      </c>
      <c r="AC9" t="inlineStr">
        <is>
          <t xml:space="preserve">6371016108940002</t>
        </is>
      </c>
      <c r="AD9" t="inlineStr">
        <is>
          <t xml:space="preserve">6371016108940002</t>
        </is>
      </c>
      <c r="AE9" t="inlineStr">
        <is>
          <t xml:space="preserve">99000000002</t>
        </is>
      </c>
      <c r="AF9" t="inlineStr">
        <is>
          <t xml:space="preserve">Terdaftar di BPJS (Mandiri) = 0009990000002</t>
        </is>
      </c>
      <c r="AH9" t="inlineStr">
        <is>
          <t xml:space="preserve">9990000000002</t>
        </is>
      </c>
      <c r="AI9" t="inlineStr">
        <is>
          <t xml:space="preserve">BRI</t>
        </is>
      </c>
      <c r="AJ9" t="inlineStr">
        <is>
          <t xml:space="preserve">Jl. Contoh A. Yani No. 2, Banjarmasin</t>
        </is>
      </c>
      <c r="AK9" t="str">
        <f>AJ9</f>
        <v>Jl. Contoh A. Yani No. 2, Banjarmasin</v>
      </c>
    </row>
    <row r="10">
      <c r="C10">
        <f>ROW()-5</f>
        <v>5</v>
      </c>
      <c r="D10" t="inlineStr">
        <is>
          <t xml:space="preserve">Agus Contoh Pratama</t>
        </is>
      </c>
      <c r="E10" t="inlineStr">
        <is>
          <t xml:space="preserve">2406.ACP.021</t>
        </is>
      </c>
      <c r="F10" t="inlineStr">
        <is>
          <t xml:space="preserve">01/06/2024</t>
        </is>
      </c>
      <c r="G10" s="1">
        <v>46387</v>
      </c>
      <c r="H10" t="str">
        <f>IF(F10="","-",(TODAY()-F10)/365)</f>
        <v>-</v>
      </c>
      <c r="I10">
        <f>IF(G10="permanent","permanent",TODAY()-G10)</f>
        <v>-92</v>
      </c>
      <c r="J10" t="str">
        <f>IF(I10="permanent","permanent",IF(AND(I10&lt;0),"aktif","expired"))</f>
        <v>aktif</v>
      </c>
      <c r="K10" t="inlineStr">
        <is>
          <t xml:space="preserve">Probation  3 Bulan</t>
        </is>
      </c>
      <c r="L10" t="inlineStr">
        <is>
          <t xml:space="preserve">Ass Master Bor</t>
        </is>
      </c>
      <c r="M10" t="inlineStr">
        <is>
          <t xml:space="preserve">Produksi</t>
        </is>
      </c>
      <c r="N10" t="inlineStr">
        <is>
          <t xml:space="preserve">Kalimantan Tengah</t>
        </is>
      </c>
      <c r="O10" t="inlineStr">
        <is>
          <t xml:space="preserve">ACP</t>
        </is>
      </c>
      <c r="P10" t="str">
        <f>N10</f>
        <v>Kalimantan Tengah</v>
      </c>
      <c r="Q10" t="inlineStr">
        <is>
          <t xml:space="preserve">Sampit</t>
        </is>
      </c>
      <c r="R10" s="1">
        <v>36163</v>
      </c>
      <c r="S10">
        <f>IF(R10="","-",(TODAY()-R10)/365)</f>
        <v>27.76</v>
      </c>
      <c r="U10" t="inlineStr">
        <is>
          <t xml:space="preserve">TK/0</t>
        </is>
      </c>
      <c r="V10">
        <v>1</v>
      </c>
      <c r="Y10" t="inlineStr">
        <is>
          <t xml:space="preserve">Kristen</t>
        </is>
      </c>
      <c r="Z10" t="inlineStr">
        <is>
          <t xml:space="preserve">Laki - Laki</t>
        </is>
      </c>
      <c r="AA10" t="inlineStr">
        <is>
          <t xml:space="preserve">SMA N 3 Contoh Sampit</t>
        </is>
      </c>
      <c r="AB10" t="inlineStr">
        <is>
          <t xml:space="preserve">081200009003</t>
        </is>
      </c>
      <c r="AC10" t="inlineStr">
        <is>
          <t xml:space="preserve">620201030199003</t>
        </is>
      </c>
      <c r="AE10" t="inlineStr">
        <is>
          <t xml:space="preserve">Belum terdaftar di BPJS Ketenagakerjaan 2024</t>
        </is>
      </c>
      <c r="AH10" t="inlineStr">
        <is>
          <t xml:space="preserve">9990000000003</t>
        </is>
      </c>
      <c r="AI10" t="inlineStr">
        <is>
          <t xml:space="preserve">BNI</t>
        </is>
      </c>
      <c r="AJ10" t="inlineStr">
        <is>
          <t xml:space="preserve">Jl. Contoh Tjilik Riwut Km 3, Sampit</t>
        </is>
      </c>
      <c r="AK10" t="inlineStr">
        <is>
          <t xml:space="preserve">Mess Karyawan Site Contoh, Kalimantan Tengah</t>
        </is>
      </c>
    </row>
    <row r="11">
      <c r="C11">
        <f>ROW()-5</f>
        <v>6</v>
      </c>
      <c r="D11" t="inlineStr">
        <is>
          <t xml:space="preserve">Rina Contoh Wati</t>
        </is>
      </c>
      <c r="E11" t="inlineStr">
        <is>
          <t xml:space="preserve">2407.ACP.022</t>
        </is>
      </c>
      <c r="F11" s="1">
        <v>45474</v>
      </c>
      <c r="G11" s="1">
        <v>46327</v>
      </c>
      <c r="H11">
        <f>IF(F11="","-",(TODAY()-F11)/365)</f>
        <v>2.25</v>
      </c>
      <c r="I11">
        <f>IF(G11="permanent","permanent",TODAY()-G11)</f>
        <v>-32</v>
      </c>
      <c r="J11" t="str">
        <f>IF(I11="permanent","permanent",IF(AND(I11&lt;0),"aktif","expired"))</f>
        <v>aktif</v>
      </c>
      <c r="K11" t="inlineStr">
        <is>
          <t xml:space="preserve">PKWT Ke 3 - Perpanjang 3 Bulan</t>
        </is>
      </c>
      <c r="L11" t="inlineStr">
        <is>
          <t xml:space="preserve">Assistant Master Bor</t>
        </is>
      </c>
      <c r="M11" t="inlineStr">
        <is>
          <t xml:space="preserve">Produksi</t>
        </is>
      </c>
      <c r="N11" t="inlineStr">
        <is>
          <t xml:space="preserve">Kalimantan Tengah</t>
        </is>
      </c>
      <c r="O11" t="inlineStr">
        <is>
          <t xml:space="preserve">ACP</t>
        </is>
      </c>
      <c r="P11" t="str">
        <f>N11</f>
        <v>Kalimantan Tengah</v>
      </c>
      <c r="Q11" t="inlineStr">
        <is>
          <t xml:space="preserve">Kuala Kapuas</t>
        </is>
      </c>
      <c r="R11" s="1">
        <v>35775</v>
      </c>
      <c r="S11">
        <f>IF(R11="","-",(TODAY()-R11)/365)</f>
        <v>28.82</v>
      </c>
      <c r="U11" t="inlineStr">
        <is>
          <t xml:space="preserve">K/1</t>
        </is>
      </c>
      <c r="V11" t="inlineStr">
        <is>
          <t xml:space="preserve">3A</t>
        </is>
      </c>
      <c r="Y11" t="inlineStr">
        <is>
          <t xml:space="preserve">Katholik</t>
        </is>
      </c>
      <c r="Z11" t="inlineStr">
        <is>
          <t xml:space="preserve">Perempuan</t>
        </is>
      </c>
      <c r="AA11" t="inlineStr">
        <is>
          <t xml:space="preserve">D3</t>
        </is>
      </c>
      <c r="AB11" t="inlineStr">
        <is>
          <t xml:space="preserve">081200009004</t>
        </is>
      </c>
      <c r="AC11" t="inlineStr">
        <is>
          <t xml:space="preserve">6203015112970004</t>
        </is>
      </c>
      <c r="AD11" t="inlineStr">
        <is>
          <t xml:space="preserve">9990 0000 0000 0004</t>
        </is>
      </c>
      <c r="AF11" t="inlineStr">
        <is>
          <t xml:space="preserve">Terdaftar di BPJS 0009990000004</t>
        </is>
      </c>
      <c r="AH11" t="inlineStr">
        <is>
          <t xml:space="preserve">9990000000004</t>
        </is>
      </c>
      <c r="AI11" t="inlineStr">
        <is>
          <t xml:space="preserve">BCA</t>
        </is>
      </c>
      <c r="AJ11" t="inlineStr">
        <is>
          <t xml:space="preserve">Jl. Contoh Pemuda No. 4, Kuala Kapuas</t>
        </is>
      </c>
      <c r="AK11" t="str">
        <f>AJ11</f>
        <v>Jl. Contoh Pemuda No. 4, Kuala Kapuas</v>
      </c>
    </row>
    <row r="12">
      <c r="C12">
        <f>ROW()-5</f>
        <v>7</v>
      </c>
      <c r="D12" t="inlineStr">
        <is>
          <t xml:space="preserve">Dedi Contoh Kurniawan</t>
        </is>
      </c>
      <c r="E12" t="inlineStr">
        <is>
          <t xml:space="preserve">2408.ACP.023</t>
        </is>
      </c>
      <c r="F12" s="1">
        <v>45509</v>
      </c>
      <c r="G12" s="1">
        <v>46328</v>
      </c>
      <c r="H12">
        <f>IF(F12="","-",(TODAY()-F12)/365)</f>
        <v>2.15</v>
      </c>
      <c r="I12">
        <f>IF(G12="permanent","permanent",TODAY()-G12)</f>
        <v>-33</v>
      </c>
      <c r="J12" t="str">
        <f>IF(I12="permanent","permanent",IF(AND(I12&lt;0),"aktif","expired"))</f>
        <v>aktif</v>
      </c>
      <c r="L12" t="inlineStr">
        <is>
          <t xml:space="preserve">Master Loading</t>
        </is>
      </c>
      <c r="M12" t="inlineStr">
        <is>
          <t xml:space="preserve">Operations</t>
        </is>
      </c>
      <c r="N12" t="inlineStr">
        <is>
          <t xml:space="preserve">Kalimantan Tengah</t>
        </is>
      </c>
      <c r="O12" t="inlineStr">
        <is>
          <t xml:space="preserve">ACP</t>
        </is>
      </c>
      <c r="P12" t="str">
        <f>N12</f>
        <v>Kalimantan Tengah</v>
      </c>
      <c r="S12" t="str">
        <f>IF(R12="","-",(TODAY()-R12)/365)</f>
        <v>-</v>
      </c>
      <c r="U12" t="inlineStr">
        <is>
          <t xml:space="preserve">K/2</t>
        </is>
      </c>
      <c r="Y12" t="inlineStr">
        <is>
          <t xml:space="preserve">Islam</t>
        </is>
      </c>
      <c r="Z12" t="inlineStr">
        <is>
          <t xml:space="preserve">Laki-Laki</t>
        </is>
      </c>
      <c r="AA12" t="inlineStr">
        <is>
          <t xml:space="preserve">SMA</t>
        </is>
      </c>
      <c r="AB12" t="inlineStr">
        <is>
          <t xml:space="preserve">081200009005</t>
        </is>
      </c>
      <c r="AC12" t="inlineStr">
        <is>
          <t xml:space="preserve">6271010508900005</t>
        </is>
      </c>
      <c r="AH12" t="inlineStr">
        <is>
          <t xml:space="preserve">9990000000005</t>
        </is>
      </c>
      <c r="AI12" t="inlineStr">
        <is>
          <t xml:space="preserve">Mandiri</t>
        </is>
      </c>
    </row>
    <row r="13">
      <c r="C13">
        <f>ROW()-5</f>
        <v>8</v>
      </c>
      <c r="D13" t="inlineStr">
        <is>
          <t xml:space="preserve">Maya Contoh Lestari</t>
        </is>
      </c>
      <c r="E13" t="inlineStr">
        <is>
          <t xml:space="preserve">2410.ACP.024</t>
        </is>
      </c>
      <c r="F13" s="1">
        <v>45579</v>
      </c>
      <c r="G13" s="1">
        <v>46308</v>
      </c>
      <c r="H13">
        <f>IF(F13="","-",(TODAY()-F13)/365)</f>
        <v>1.96</v>
      </c>
      <c r="I13">
        <f>IF(G13="permanent","permanent",TODAY()-G13)</f>
        <v>-13</v>
      </c>
      <c r="J13" t="str">
        <f>IF(I13="permanent","permanent",IF(AND(I13&lt;0),"aktif","expired"))</f>
        <v>aktif</v>
      </c>
      <c r="K13" t="inlineStr">
        <is>
          <t xml:space="preserve">PKWT I - 3 Bulan</t>
        </is>
      </c>
      <c r="L13" t="inlineStr">
        <is>
          <t xml:space="preserve">Humas</t>
        </is>
      </c>
      <c r="M13" t="inlineStr">
        <is>
          <t xml:space="preserve">Legal</t>
        </is>
      </c>
      <c r="N13" t="inlineStr">
        <is>
          <t xml:space="preserve">Jakarta Selatan</t>
        </is>
      </c>
      <c r="O13" t="inlineStr">
        <is>
          <t xml:space="preserve">ACP</t>
        </is>
      </c>
      <c r="P13" t="str">
        <f>N13</f>
        <v>Jakarta Selatan</v>
      </c>
      <c r="Q13" t="inlineStr">
        <is>
          <t xml:space="preserve">Jakarta</t>
        </is>
      </c>
      <c r="R13" s="1">
        <v>35185</v>
      </c>
      <c r="S13">
        <f>IF(R13="","-",(TODAY()-R13)/365)</f>
        <v>30.44</v>
      </c>
      <c r="U13" t="inlineStr">
        <is>
          <t xml:space="preserve">TK/0</t>
        </is>
      </c>
      <c r="V13">
        <v>2</v>
      </c>
      <c r="Y13" t="inlineStr">
        <is>
          <t xml:space="preserve">Islam</t>
        </is>
      </c>
      <c r="Z13" t="inlineStr">
        <is>
          <t xml:space="preserve">Perempuan</t>
        </is>
      </c>
      <c r="AA13" t="inlineStr">
        <is>
          <t xml:space="preserve">S1</t>
        </is>
      </c>
      <c r="AB13" t="inlineStr">
        <is>
          <t xml:space="preserve">081200009006</t>
        </is>
      </c>
      <c r="AC13" t="inlineStr">
        <is>
          <t xml:space="preserve">3174017004960006</t>
        </is>
      </c>
      <c r="AH13" t="inlineStr">
        <is>
          <t xml:space="preserve">9990000000006</t>
        </is>
      </c>
      <c r="AI13" t="inlineStr">
        <is>
          <t xml:space="preserve">Mandiri</t>
        </is>
      </c>
      <c r="AJ13" t="inlineStr">
        <is>
          <t xml:space="preserve">Jl. Contoh Gatot Subroto No. 6, Jakarta Selatan</t>
        </is>
      </c>
      <c r="AK13" t="str">
        <f>AJ13</f>
        <v>Jl. Contoh Gatot Subroto No. 6, Jakarta Selatan</v>
      </c>
    </row>
    <row r="14">
      <c r="C14">
        <f>ROW()-5</f>
        <v>9</v>
      </c>
      <c r="D14" t="inlineStr">
        <is>
          <t xml:space="preserve">Yoga Contoh Saputra</t>
        </is>
      </c>
      <c r="E14" t="inlineStr">
        <is>
          <t xml:space="preserve">2501.PNR.001</t>
        </is>
      </c>
      <c r="F14" s="1">
        <v>45663</v>
      </c>
      <c r="G14" s="1">
        <v>46234</v>
      </c>
      <c r="H14">
        <f>IF(F14="","-",(TODAY()-F14)/365)</f>
        <v>1.73</v>
      </c>
      <c r="I14">
        <f>IF(G14="permanent","permanent",TODAY()-G14)</f>
        <v>61</v>
      </c>
      <c r="J14" t="str">
        <f>IF(I14="permanent","permanent",IF(AND(I14&lt;0),"aktif","expired"))</f>
        <v>expired</v>
      </c>
      <c r="K14" t="inlineStr">
        <is>
          <t xml:space="preserve">PKWT I - 6 Bulan</t>
        </is>
      </c>
      <c r="L14" t="inlineStr">
        <is>
          <t xml:space="preserve">Security</t>
        </is>
      </c>
      <c r="M14" t="inlineStr">
        <is>
          <t xml:space="preserve">HRGA</t>
        </is>
      </c>
      <c r="N14" t="inlineStr">
        <is>
          <t xml:space="preserve">Kalimantan Tengah</t>
        </is>
      </c>
      <c r="O14" t="inlineStr">
        <is>
          <t xml:space="preserve">PNR</t>
        </is>
      </c>
      <c r="P14" t="str">
        <f>N14</f>
        <v>Kalimantan Tengah</v>
      </c>
      <c r="S14" t="str">
        <f>IF(R14="","-",(TODAY()-R14)/365)</f>
        <v>-</v>
      </c>
      <c r="Y14" t="inlineStr">
        <is>
          <t xml:space="preserve">Islam</t>
        </is>
      </c>
      <c r="Z14" t="inlineStr">
        <is>
          <t xml:space="preserve">Laki-Laki</t>
        </is>
      </c>
      <c r="AA14" t="inlineStr">
        <is>
          <t xml:space="preserve">SMA</t>
        </is>
      </c>
      <c r="AB14" t="inlineStr">
        <is>
          <t xml:space="preserve">081200009007</t>
        </is>
      </c>
      <c r="AC14" t="inlineStr">
        <is>
          <t xml:space="preserve">6271010601000007</t>
        </is>
      </c>
      <c r="AH14" t="inlineStr">
        <is>
          <t xml:space="preserve">9990000000007</t>
        </is>
      </c>
      <c r="AI14" t="inlineStr">
        <is>
          <t xml:space="preserve">BRI</t>
        </is>
      </c>
    </row>
    <row r="15">
      <c r="C15">
        <f>ROW()-5</f>
        <v>10</v>
      </c>
    </row>
    <row r="16">
      <c r="C16">
        <f>ROW()-5</f>
        <v>11</v>
      </c>
    </row>
    <row r="17">
      <c r="C17">
        <f>ROW()-5</f>
        <v>12</v>
      </c>
    </row>
    <row r="18">
      <c r="C18">
        <f>ROW()-5</f>
        <v>13</v>
      </c>
    </row>
    <row r="19">
      <c r="C19">
        <f>ROW()-5</f>
        <v>14</v>
      </c>
    </row>
    <row r="20">
      <c r="C20">
        <f>ROW()-5</f>
        <v>15</v>
      </c>
    </row>
    <row r="21">
      <c r="C21">
        <f>ROW()-5</f>
        <v>16</v>
      </c>
    </row>
    <row r="22">
      <c r="C22">
        <f>ROW()-5</f>
        <v>17</v>
      </c>
    </row>
    <row r="23">
      <c r="C23">
        <f>ROW()-5</f>
        <v>18</v>
      </c>
    </row>
    <row r="24">
      <c r="C24">
        <f>ROW()-5</f>
        <v>19</v>
      </c>
    </row>
    <row r="25">
      <c r="C25">
        <f>ROW()-5</f>
        <v>20</v>
      </c>
    </row>
    <row r="26">
      <c r="C26">
        <f>ROW()-5</f>
        <v>21</v>
      </c>
    </row>
    <row r="27">
      <c r="C27">
        <f>ROW()-5</f>
        <v>22</v>
      </c>
    </row>
    <row r="28">
      <c r="C28">
        <f>ROW()-5</f>
        <v>23</v>
      </c>
    </row>
    <row r="29">
      <c r="C29">
        <f>ROW()-5</f>
        <v>24</v>
      </c>
    </row>
    <row r="30">
      <c r="C30">
        <f>ROW()-5</f>
        <v>25</v>
      </c>
    </row>
  </sheetData>
</worksheet>
</file>
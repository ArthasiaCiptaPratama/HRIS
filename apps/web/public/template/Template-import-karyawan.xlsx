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P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<sst xmlns="http://schemas.openxmlformats.org/spreadsheetml/2006/main" count="184" uniqueCount="146">
  <si>
    <t xml:space="preserve">MASTER DATA KARYAWAN PT. CONTOH GRUP (DATA DUMMY)</t>
  </si>
  <si>
    <t xml:space="preserve">Control</t>
  </si>
  <si>
    <t xml:space="preserve">Keterangan</t>
  </si>
  <si>
    <t xml:space="preserve">Tgl Resign</t>
  </si>
  <si>
    <t xml:space="preserve">NO</t>
  </si>
  <si>
    <t xml:space="preserve">NAMA</t>
  </si>
  <si>
    <t xml:space="preserve">NIK</t>
  </si>
  <si>
    <t xml:space="preserve">JOIN DATE</t>
  </si>
  <si>
    <t xml:space="preserve">END OF DATE</t>
  </si>
  <si>
    <t xml:space="preserve">LAMA KERJA</t>
  </si>
  <si>
    <t xml:space="preserve">MASA AKTIF</t>
  </si>
  <si>
    <t xml:space="preserve">STATUS MASA
KONTRAK KARYAWAN</t>
  </si>
  <si>
    <t xml:space="preserve">STATUS KARYAWAN</t>
  </si>
  <si>
    <t xml:space="preserve">JABATAN</t>
  </si>
  <si>
    <t xml:space="preserve">DIVISI / DEPARTEMENT</t>
  </si>
  <si>
    <t xml:space="preserve">KOTA PENEMPATAN</t>
  </si>
  <si>
    <t xml:space="preserve">PERUSAHAAN
(PNR / RCE / RDA / ACP / AU / NMA)</t>
  </si>
  <si>
    <t xml:space="preserve">PENEMPATAN LOKASI KERJA</t>
  </si>
  <si>
    <t xml:space="preserve">TEMPAT LAHIR</t>
  </si>
  <si>
    <t xml:space="preserve">TGL LAHIR</t>
  </si>
  <si>
    <t xml:space="preserve">USIA</t>
  </si>
  <si>
    <t xml:space="preserve">KOTA ASAL</t>
  </si>
  <si>
    <t xml:space="preserve">STATUS</t>
  </si>
  <si>
    <t xml:space="preserve">Grade</t>
  </si>
  <si>
    <t xml:space="preserve">NO. TELP E-CONT</t>
  </si>
  <si>
    <t xml:space="preserve">HUBUNGAN E-CONT</t>
  </si>
  <si>
    <t xml:space="preserve">AGAMA</t>
  </si>
  <si>
    <t xml:space="preserve">JENIS KELAMIN</t>
  </si>
  <si>
    <t xml:space="preserve">PENDIDIKAN</t>
  </si>
  <si>
    <t xml:space="preserve">NO. TLP HP</t>
  </si>
  <si>
    <t xml:space="preserve">NO. KTP</t>
  </si>
  <si>
    <t xml:space="preserve">NO. NPWP</t>
  </si>
  <si>
    <t xml:space="preserve">ID BPJS KETENAGAKERJAAN</t>
  </si>
  <si>
    <t xml:space="preserve">ID BPJS KESEHATAN</t>
  </si>
  <si>
    <t xml:space="preserve">NOMOR OFFERING</t>
  </si>
  <si>
    <t xml:space="preserve">NO. REKENING</t>
  </si>
  <si>
    <t xml:space="preserve">NAMA BANK</t>
  </si>
  <si>
    <t xml:space="preserve">ALAMAT KTP</t>
  </si>
  <si>
    <t xml:space="preserve">ALAMAT DOMISILI</t>
  </si>
  <si>
    <t xml:space="preserve">RESIGN </t>
  </si>
  <si>
    <t xml:space="preserve">Contoh Resign Satu</t>
  </si>
  <si>
    <t xml:space="preserve">2401.ACP.901</t>
  </si>
  <si>
    <t xml:space="preserve">Permanent</t>
  </si>
  <si>
    <t xml:space="preserve">Security</t>
  </si>
  <si>
    <t xml:space="preserve">HRGA</t>
  </si>
  <si>
    <t xml:space="preserve">Kalimantan Tengah</t>
  </si>
  <si>
    <t xml:space="preserve">ACP</t>
  </si>
  <si>
    <t xml:space="preserve">RESIGN</t>
  </si>
  <si>
    <t xml:space="preserve">Contoh Resign Dua</t>
  </si>
  <si>
    <t xml:space="preserve">2402.ACP.902</t>
  </si>
  <si>
    <t xml:space="preserve">PKWT I - 6 Bulan</t>
  </si>
  <si>
    <t xml:space="preserve">Wellsite</t>
  </si>
  <si>
    <t xml:space="preserve">Engineering</t>
  </si>
  <si>
    <t xml:space="preserve">Islam</t>
  </si>
  <si>
    <t xml:space="preserve">Laki-Laki</t>
  </si>
  <si>
    <t xml:space="preserve">Arkan Matis</t>
  </si>
  <si>
    <t xml:space="preserve">2301.ACP.001</t>
  </si>
  <si>
    <t xml:space="preserve">KTT ACP</t>
  </si>
  <si>
    <t xml:space="preserve">Management</t>
  </si>
  <si>
    <t xml:space="preserve">Palangka Raya</t>
  </si>
  <si>
    <t xml:space="preserve">K/3</t>
  </si>
  <si>
    <t xml:space="preserve">4B</t>
  </si>
  <si>
    <t xml:space="preserve">S2</t>
  </si>
  <si>
    <t xml:space="preserve">081200009001</t>
  </si>
  <si>
    <t xml:space="preserve">6271011205800001</t>
  </si>
  <si>
    <t xml:space="preserve">09.901.901.1-017.000</t>
  </si>
  <si>
    <t xml:space="preserve">Terdaftar di BPJS 0009990000001</t>
  </si>
  <si>
    <t xml:space="preserve">ACP.001.1/HRD/OL-IX/A-2023</t>
  </si>
  <si>
    <t xml:space="preserve">9990000000001</t>
  </si>
  <si>
    <t xml:space="preserve">Mandiri</t>
  </si>
  <si>
    <t xml:space="preserve">Jl. Contoh Tjilik Riwut Km 1, Palangka Raya</t>
  </si>
  <si>
    <t xml:space="preserve">Siti Contoh Aminah</t>
  </si>
  <si>
    <t xml:space="preserve">2305.ACP.014</t>
  </si>
  <si>
    <t xml:space="preserve">PKWT II - 1 Tahun</t>
  </si>
  <si>
    <t xml:space="preserve">Geologist</t>
  </si>
  <si>
    <t xml:space="preserve">Banjarmasin</t>
  </si>
  <si>
    <t xml:space="preserve">TK/0</t>
  </si>
  <si>
    <t xml:space="preserve">3A</t>
  </si>
  <si>
    <t xml:space="preserve">ISLAM</t>
  </si>
  <si>
    <t xml:space="preserve">Perempuan</t>
  </si>
  <si>
    <t xml:space="preserve">S1</t>
  </si>
  <si>
    <t xml:space="preserve">6281200009002</t>
  </si>
  <si>
    <t xml:space="preserve">6371016108940002</t>
  </si>
  <si>
    <t xml:space="preserve">99000000002</t>
  </si>
  <si>
    <t xml:space="preserve">Terdaftar di BPJS (Mandiri) = 0009990000002</t>
  </si>
  <si>
    <t xml:space="preserve">9990000000002</t>
  </si>
  <si>
    <t xml:space="preserve">BRI</t>
  </si>
  <si>
    <t xml:space="preserve">Jl. Contoh A. Yani No. 2, Banjarmasin</t>
  </si>
  <si>
    <t xml:space="preserve">Agus Contoh Pratama</t>
  </si>
  <si>
    <t xml:space="preserve">2406.ACP.021</t>
  </si>
  <si>
    <t xml:space="preserve">01/06/2024</t>
  </si>
  <si>
    <t xml:space="preserve">Probation  3 Bulan</t>
  </si>
  <si>
    <t xml:space="preserve">Ass Master Bor</t>
  </si>
  <si>
    <t xml:space="preserve">Produksi</t>
  </si>
  <si>
    <t xml:space="preserve">Sampit</t>
  </si>
  <si>
    <t xml:space="preserve">Kristen</t>
  </si>
  <si>
    <t xml:space="preserve">Laki - Laki</t>
  </si>
  <si>
    <t xml:space="preserve">SMA N 3 Contoh Sampit</t>
  </si>
  <si>
    <t xml:space="preserve">081200009003</t>
  </si>
  <si>
    <t xml:space="preserve">620201030199003</t>
  </si>
  <si>
    <t xml:space="preserve">Belum terdaftar di BPJS Ketenagakerjaan 2024</t>
  </si>
  <si>
    <t xml:space="preserve">9990000000003</t>
  </si>
  <si>
    <t xml:space="preserve">BNI</t>
  </si>
  <si>
    <t xml:space="preserve">Jl. Contoh Tjilik Riwut Km 3, Sampit</t>
  </si>
  <si>
    <t xml:space="preserve">Mess Karyawan Site Contoh, Kalimantan Tengah</t>
  </si>
  <si>
    <t xml:space="preserve">Rina Contoh Wati</t>
  </si>
  <si>
    <t xml:space="preserve">2407.ACP.022</t>
  </si>
  <si>
    <t xml:space="preserve">PKWT Ke 3 - Perpanjang 3 Bulan</t>
  </si>
  <si>
    <t xml:space="preserve">Assistant Master Bor</t>
  </si>
  <si>
    <t xml:space="preserve">Kuala Kapuas</t>
  </si>
  <si>
    <t xml:space="preserve">K/1</t>
  </si>
  <si>
    <t xml:space="preserve">Katholik</t>
  </si>
  <si>
    <t xml:space="preserve">D3</t>
  </si>
  <si>
    <t xml:space="preserve">081200009004</t>
  </si>
  <si>
    <t xml:space="preserve">6203015112970004</t>
  </si>
  <si>
    <t xml:space="preserve">9990 0000 0000 0004</t>
  </si>
  <si>
    <t xml:space="preserve">Terdaftar di BPJS 0009990000004</t>
  </si>
  <si>
    <t xml:space="preserve">9990000000004</t>
  </si>
  <si>
    <t xml:space="preserve">BCA</t>
  </si>
  <si>
    <t xml:space="preserve">Jl. Contoh Pemuda No. 4, Kuala Kapuas</t>
  </si>
  <si>
    <t xml:space="preserve">Dedi Contoh Kurniawan</t>
  </si>
  <si>
    <t xml:space="preserve">2408.ACP.023</t>
  </si>
  <si>
    <t xml:space="preserve">Master Loading</t>
  </si>
  <si>
    <t xml:space="preserve">Operations</t>
  </si>
  <si>
    <t xml:space="preserve">K/2</t>
  </si>
  <si>
    <t xml:space="preserve">SMA</t>
  </si>
  <si>
    <t xml:space="preserve">081200009005</t>
  </si>
  <si>
    <t xml:space="preserve">6271010508900005</t>
  </si>
  <si>
    <t xml:space="preserve">9990000000005</t>
  </si>
  <si>
    <t xml:space="preserve">Maya Contoh Lestari</t>
  </si>
  <si>
    <t xml:space="preserve">2410.ACP.024</t>
  </si>
  <si>
    <t xml:space="preserve">PKWT I - 3 Bulan</t>
  </si>
  <si>
    <t xml:space="preserve">Humas</t>
  </si>
  <si>
    <t xml:space="preserve">Legal</t>
  </si>
  <si>
    <t xml:space="preserve">Jakarta Selatan</t>
  </si>
  <si>
    <t xml:space="preserve">Jakarta</t>
  </si>
  <si>
    <t xml:space="preserve">081200009006</t>
  </si>
  <si>
    <t xml:space="preserve">3174017004960006</t>
  </si>
  <si>
    <t xml:space="preserve">9990000000006</t>
  </si>
  <si>
    <t xml:space="preserve">Jl. Contoh Gatot Subroto No. 6, Jakarta Selatan</t>
  </si>
  <si>
    <t xml:space="preserve">Yoga Contoh Saputra</t>
  </si>
  <si>
    <t xml:space="preserve">2501.PNR.001</t>
  </si>
  <si>
    <t xml:space="preserve">PNR</t>
  </si>
  <si>
    <t xml:space="preserve">081200009007</t>
  </si>
  <si>
    <t xml:space="preserve">6271010601000007</t>
  </si>
  <si>
    <t xml:space="preserve">9990000000007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</si>
</sst>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-mmm\-yy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K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5" topLeftCell="F6" activePane="bottomRight" state="frozen"/>
      <selection pane="topLeft" activeCell="A1" activeCellId="0" sqref="A1"/>
      <selection pane="topRight" activeCell="F1" activeCellId="0" sqref="F1"/>
      <selection pane="bottomLeft" activeCell="A6" activeCellId="0" sqref="A6"/>
      <selection pane="bottomRight" activeCell="D8" activeCellId="0" sqref="D8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3" min="1" style="0" width="16"/>
    <col collapsed="false" customWidth="true" hidden="false" outlineLevel="0" max="4" min="4" style="0" width="26"/>
    <col collapsed="false" customWidth="true" hidden="false" outlineLevel="0" max="37" min="5" style="0" width="16"/>
  </cols>
  <sheetData>
    <row r="2" customFormat="false" ht="12.8" hidden="false" customHeight="false" outlineLevel="0" collapsed="false">
      <c r="C2" s="0" t="s">
        <v>0</v>
      </c>
    </row>
    <row r="4" customFormat="false" ht="12.8" hidden="false" customHeight="false" outlineLevel="0" collapsed="false">
      <c r="B4" s="0" t="s">
        <v>1</v>
      </c>
      <c r="D4" s="0" t="n">
        <f aca="false">COUNTA(D6:D60)/C14</f>
        <v>1</v>
      </c>
      <c r="E4" s="0" t="n">
        <f aca="false">COUNTA(E6:E60)/C14</f>
        <v>1</v>
      </c>
      <c r="F4" s="0" t="n">
        <f aca="false">COUNTA(F6:F60)/C14</f>
        <v>1</v>
      </c>
      <c r="G4" s="0" t="n">
        <f aca="false">COUNTA(G6:G60)/C14</f>
        <v>1</v>
      </c>
      <c r="H4" s="0" t="n">
        <f aca="false">COUNTA(H6:H60)/C14</f>
        <v>1</v>
      </c>
      <c r="I4" s="0" t="n">
        <f aca="false">COUNTA(I6:I60)/C14</f>
        <v>1</v>
      </c>
      <c r="J4" s="0" t="n">
        <f aca="false">COUNTA(J6:J60)/C14</f>
        <v>1</v>
      </c>
      <c r="K4" s="0" t="n">
        <f aca="false">COUNTA(K6:K60)/C14</f>
        <v>1</v>
      </c>
      <c r="L4" s="0" t="n">
        <f aca="false">COUNTA(L6:L60)/C14</f>
        <v>1</v>
      </c>
      <c r="M4" s="0" t="n">
        <f aca="false">COUNTA(M6:M60)/C14</f>
        <v>1</v>
      </c>
      <c r="N4" s="0" t="n">
        <f aca="false">COUNTA(N6:N60)/C14</f>
        <v>1</v>
      </c>
      <c r="O4" s="0" t="n">
        <f aca="false">COUNTA(O6:O60)/C14</f>
        <v>1</v>
      </c>
      <c r="P4" s="0" t="n">
        <f aca="false">COUNTA(P6:P60)/C14</f>
        <v>1</v>
      </c>
      <c r="Q4" s="0" t="n">
        <f aca="false">COUNTA(Q6:Q60)/C14</f>
        <v>1</v>
      </c>
      <c r="R4" s="0" t="n">
        <f aca="false">COUNTA(R6:R60)/C14</f>
        <v>1</v>
      </c>
      <c r="S4" s="0" t="n">
        <f aca="false">COUNTA(S6:S60)/C14</f>
        <v>1</v>
      </c>
      <c r="T4" s="0" t="n">
        <f aca="false">COUNTA(T6:T60)/C14</f>
        <v>1</v>
      </c>
      <c r="U4" s="0" t="n">
        <f aca="false">COUNTA(U6:U60)/C14</f>
        <v>1</v>
      </c>
      <c r="V4" s="0" t="n">
        <f aca="false">COUNTA(V6:V60)/C14</f>
        <v>1</v>
      </c>
      <c r="W4" s="0" t="n">
        <f aca="false">COUNTA(W6:W60)/C14</f>
        <v>1</v>
      </c>
      <c r="X4" s="0" t="n">
        <f aca="false">COUNTA(X6:X60)/C14</f>
        <v>1</v>
      </c>
      <c r="Y4" s="0" t="n">
        <f aca="false">COUNTA(Y6:Y60)/C14</f>
        <v>1</v>
      </c>
      <c r="Z4" s="0" t="n">
        <f aca="false">COUNTA(Z6:Z60)/C14</f>
        <v>1</v>
      </c>
      <c r="AA4" s="0" t="n">
        <f aca="false">COUNTA(AA6:AA60)/C14</f>
        <v>1</v>
      </c>
      <c r="AB4" s="0" t="n">
        <f aca="false">COUNTA(AB6:AB60)/C14</f>
        <v>1</v>
      </c>
      <c r="AC4" s="0" t="n">
        <f aca="false">COUNTA(AC6:AC60)/C14</f>
        <v>1</v>
      </c>
      <c r="AD4" s="0" t="n">
        <f aca="false">COUNTA(AD6:AD60)/C14</f>
        <v>1</v>
      </c>
      <c r="AE4" s="0" t="n">
        <f aca="false">COUNTA(AE6:AE60)/C14</f>
        <v>1</v>
      </c>
      <c r="AF4" s="0" t="n">
        <f aca="false">COUNTA(AF6:AF60)/C14</f>
        <v>1</v>
      </c>
      <c r="AG4" s="0" t="n">
        <f aca="false">COUNTA(AG6:AG60)/C14</f>
        <v>1</v>
      </c>
      <c r="AH4" s="0" t="n">
        <f aca="false">COUNTA(AH6:AH60)/C14</f>
        <v>1</v>
      </c>
      <c r="AI4" s="0" t="n">
        <f aca="false">COUNTA(AI6:AI60)/C14</f>
        <v>1</v>
      </c>
      <c r="AJ4" s="0" t="n">
        <f aca="false">COUNTA(AJ6:AJ60)/C14</f>
        <v>1</v>
      </c>
      <c r="AK4" s="0" t="n">
        <f aca="false">COUNTA(AK6:AK60)/C14</f>
        <v>1</v>
      </c>
    </row>
    <row r="5" customFormat="false" ht="55.2" hidden="false" customHeight="false" outlineLevel="0" collapsed="false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  <c r="O5" s="1" t="s">
        <v>16</v>
      </c>
      <c r="P5" s="1" t="s">
        <v>17</v>
      </c>
      <c r="Q5" s="1" t="s">
        <v>18</v>
      </c>
      <c r="R5" s="1" t="s">
        <v>19</v>
      </c>
      <c r="S5" s="1" t="s">
        <v>20</v>
      </c>
      <c r="T5" s="1" t="s">
        <v>21</v>
      </c>
      <c r="U5" s="1" t="s">
        <v>22</v>
      </c>
      <c r="V5" s="1" t="s">
        <v>23</v>
      </c>
      <c r="W5" s="1" t="s">
        <v>24</v>
      </c>
      <c r="X5" s="1" t="s">
        <v>25</v>
      </c>
      <c r="Y5" s="1" t="s">
        <v>26</v>
      </c>
      <c r="Z5" s="1" t="s">
        <v>27</v>
      </c>
      <c r="AA5" s="1" t="s">
        <v>28</v>
      </c>
      <c r="AB5" s="1" t="s">
        <v>29</v>
      </c>
      <c r="AC5" s="1" t="s">
        <v>30</v>
      </c>
      <c r="AD5" s="1" t="s">
        <v>31</v>
      </c>
      <c r="AE5" s="1" t="s">
        <v>32</v>
      </c>
      <c r="AF5" s="1" t="s">
        <v>33</v>
      </c>
      <c r="AG5" s="1" t="s">
        <v>34</v>
      </c>
      <c r="AH5" s="1" t="s">
        <v>35</v>
      </c>
      <c r="AI5" s="1" t="s">
        <v>36</v>
      </c>
      <c r="AJ5" s="1" t="s">
        <v>37</v>
      </c>
      <c r="AK5" s="1" t="s">
        <v>38</v>
      </c>
    </row>
    <row r="6" customFormat="false" ht="12.8" hidden="true" customHeight="false" outlineLevel="0" collapsed="false">
      <c r="A6" s="0" t="s">
        <v>39</v>
      </c>
      <c r="B6" s="2" t="n">
        <v>46173</v>
      </c>
      <c r="C6" s="0" t="n">
        <f aca="false">ROW()-5</f>
        <v>1</v>
      </c>
      <c r="D6" s="0" t="s">
        <v>40</v>
      </c>
      <c r="E6" s="0" t="s">
        <v>41</v>
      </c>
      <c r="F6" s="2" t="n">
        <v>45346</v>
      </c>
      <c r="G6" s="0" t="s">
        <v>42</v>
      </c>
      <c r="H6" s="0" t="n">
        <f aca="true">IF(F6="","-",(TODAY()-F6)/365)</f>
        <v>2.6</v>
      </c>
      <c r="I6" s="0" t="str">
        <f aca="true">IF(G6="permanent","permanent",TODAY()-G6)</f>
        <v>permanent</v>
      </c>
      <c r="J6" s="0" t="str">
        <f aca="false">IF(I6="permanent","permanent",IF(AND(I6&lt;0),"aktif","expired"))</f>
        <v>permanent</v>
      </c>
      <c r="L6" s="0" t="s">
        <v>43</v>
      </c>
      <c r="M6" s="0" t="s">
        <v>44</v>
      </c>
      <c r="N6" s="0" t="s">
        <v>45</v>
      </c>
      <c r="O6" s="0" t="s">
        <v>46</v>
      </c>
      <c r="P6" s="0" t="str">
        <f aca="false">N6</f>
        <v>Kalimantan Tengah</v>
      </c>
      <c r="S6" s="0" t="str">
        <f aca="true">IF(R6="","-",(TODAY()-R6)/365)</f>
        <v>-</v>
      </c>
    </row>
    <row r="7" customFormat="false" ht="12.8" hidden="true" customHeight="false" outlineLevel="0" collapsed="false">
      <c r="A7" s="0" t="s">
        <v>47</v>
      </c>
      <c r="B7" s="2" t="n">
        <v>46173</v>
      </c>
      <c r="C7" s="0" t="n">
        <f aca="false">ROW()-5</f>
        <v>2</v>
      </c>
      <c r="D7" s="0" t="s">
        <v>48</v>
      </c>
      <c r="E7" s="0" t="s">
        <v>49</v>
      </c>
      <c r="F7" s="2" t="n">
        <v>45355</v>
      </c>
      <c r="G7" s="2" t="n">
        <v>45930</v>
      </c>
      <c r="H7" s="0" t="n">
        <f aca="true">IF(F7="","-",(TODAY()-F7)/365)</f>
        <v>2.57534246575342</v>
      </c>
      <c r="I7" s="0" t="n">
        <f aca="true">IF(G7="permanent","permanent",TODAY()-G7)</f>
        <v>365</v>
      </c>
      <c r="J7" s="0" t="str">
        <f aca="false">IF(I7="permanent","permanent",IF(AND(I7&lt;0),"aktif","expired"))</f>
        <v>expired</v>
      </c>
      <c r="K7" s="0" t="s">
        <v>50</v>
      </c>
      <c r="L7" s="0" t="s">
        <v>51</v>
      </c>
      <c r="M7" s="0" t="s">
        <v>52</v>
      </c>
      <c r="N7" s="0" t="s">
        <v>45</v>
      </c>
      <c r="O7" s="0" t="s">
        <v>46</v>
      </c>
      <c r="P7" s="0" t="str">
        <f aca="false">N7</f>
        <v>Kalimantan Tengah</v>
      </c>
      <c r="S7" s="0" t="str">
        <f aca="true">IF(R7="","-",(TODAY()-R7)/365)</f>
        <v>-</v>
      </c>
      <c r="Y7" s="0" t="s">
        <v>53</v>
      </c>
      <c r="Z7" s="0" t="s">
        <v>54</v>
      </c>
    </row>
    <row r="8" customFormat="false" ht="12.8" hidden="false" customHeight="false" outlineLevel="0" collapsed="false">
      <c r="C8" s="0" t="n">
        <f aca="false">ROW()-5</f>
        <v>3</v>
      </c>
      <c r="D8" s="0" t="s">
        <v>55</v>
      </c>
      <c r="E8" s="0" t="s">
        <v>56</v>
      </c>
      <c r="F8" s="2" t="n">
        <v>44935</v>
      </c>
      <c r="G8" s="0" t="s">
        <v>42</v>
      </c>
      <c r="H8" s="0" t="n">
        <f aca="true">IF(F8="","-",(TODAY()-F8)/365)</f>
        <v>3.72602739726027</v>
      </c>
      <c r="I8" s="0" t="str">
        <f aca="true">IF(G8="permanent","permanent",TODAY()-G8)</f>
        <v>permanent</v>
      </c>
      <c r="J8" s="0" t="str">
        <f aca="false">IF(I8="permanent","permanent",IF(AND(I8&lt;0),"aktif","expired"))</f>
        <v>permanent</v>
      </c>
      <c r="L8" s="0" t="s">
        <v>57</v>
      </c>
      <c r="M8" s="0" t="s">
        <v>58</v>
      </c>
      <c r="N8" s="0" t="s">
        <v>45</v>
      </c>
      <c r="O8" s="0" t="s">
        <v>46</v>
      </c>
      <c r="P8" s="0" t="str">
        <f aca="false">N8</f>
        <v>Kalimantan Tengah</v>
      </c>
      <c r="Q8" s="0" t="s">
        <v>59</v>
      </c>
      <c r="R8" s="2" t="n">
        <v>29353</v>
      </c>
      <c r="S8" s="0" t="n">
        <f aca="true">IF(R8="","-",(TODAY()-R8)/365)</f>
        <v>46.4164383561644</v>
      </c>
      <c r="U8" s="0" t="s">
        <v>60</v>
      </c>
      <c r="V8" s="0" t="s">
        <v>61</v>
      </c>
      <c r="Y8" s="0" t="s">
        <v>53</v>
      </c>
      <c r="Z8" s="0" t="s">
        <v>54</v>
      </c>
      <c r="AA8" s="0" t="s">
        <v>62</v>
      </c>
      <c r="AB8" s="0" t="s">
        <v>63</v>
      </c>
      <c r="AC8" s="0" t="s">
        <v>64</v>
      </c>
      <c r="AD8" s="0" t="s">
        <v>65</v>
      </c>
      <c r="AE8" s="0" t="n">
        <v>99000000001</v>
      </c>
      <c r="AF8" s="0" t="s">
        <v>66</v>
      </c>
      <c r="AG8" s="0" t="s">
        <v>67</v>
      </c>
      <c r="AH8" s="0" t="s">
        <v>68</v>
      </c>
      <c r="AI8" s="0" t="s">
        <v>69</v>
      </c>
      <c r="AJ8" s="0" t="s">
        <v>70</v>
      </c>
      <c r="AK8" s="0" t="str">
        <f aca="false">AJ8</f>
        <v>Jl. Contoh Tjilik Riwut Km 1, Palangka Raya</v>
      </c>
    </row>
    <row r="9" customFormat="false" ht="12.8" hidden="false" customHeight="false" outlineLevel="0" collapsed="false">
      <c r="C9" s="0" t="n">
        <f aca="false">ROW()-5</f>
        <v>4</v>
      </c>
      <c r="D9" s="0" t="s">
        <v>71</v>
      </c>
      <c r="E9" s="0" t="s">
        <v>72</v>
      </c>
      <c r="F9" s="2" t="n">
        <v>45061</v>
      </c>
      <c r="G9" s="2" t="n">
        <v>46356</v>
      </c>
      <c r="H9" s="0" t="n">
        <f aca="true">IF(F9="","-",(TODAY()-F9)/365)</f>
        <v>3.38082191780822</v>
      </c>
      <c r="I9" s="0" t="n">
        <f aca="true">IF(G9="permanent","permanent",TODAY()-G9)</f>
        <v>-61</v>
      </c>
      <c r="J9" s="0" t="str">
        <f aca="false">IF(I9="permanent","permanent",IF(AND(I9&lt;0),"aktif","expired"))</f>
        <v>aktif</v>
      </c>
      <c r="K9" s="0" t="s">
        <v>73</v>
      </c>
      <c r="L9" s="0" t="s">
        <v>74</v>
      </c>
      <c r="M9" s="0" t="s">
        <v>52</v>
      </c>
      <c r="N9" s="0" t="s">
        <v>45</v>
      </c>
      <c r="O9" s="0" t="s">
        <v>46</v>
      </c>
      <c r="P9" s="0" t="str">
        <f aca="false">N9</f>
        <v>Kalimantan Tengah</v>
      </c>
      <c r="Q9" s="0" t="s">
        <v>75</v>
      </c>
      <c r="R9" s="2" t="n">
        <v>34567</v>
      </c>
      <c r="S9" s="0" t="n">
        <f aca="true">IF(R9="","-",(TODAY()-R9)/365)</f>
        <v>32.1315068493151</v>
      </c>
      <c r="U9" s="0" t="s">
        <v>76</v>
      </c>
      <c r="V9" s="0" t="s">
        <v>77</v>
      </c>
      <c r="Y9" s="0" t="s">
        <v>78</v>
      </c>
      <c r="Z9" s="0" t="s">
        <v>79</v>
      </c>
      <c r="AA9" s="0" t="s">
        <v>80</v>
      </c>
      <c r="AB9" s="0" t="s">
        <v>81</v>
      </c>
      <c r="AC9" s="0" t="s">
        <v>82</v>
      </c>
      <c r="AD9" s="0" t="s">
        <v>82</v>
      </c>
      <c r="AE9" s="0" t="s">
        <v>83</v>
      </c>
      <c r="AF9" s="0" t="s">
        <v>84</v>
      </c>
      <c r="AH9" s="0" t="s">
        <v>85</v>
      </c>
      <c r="AI9" s="0" t="s">
        <v>86</v>
      </c>
      <c r="AJ9" s="0" t="s">
        <v>87</v>
      </c>
      <c r="AK9" s="0" t="str">
        <f aca="false">AJ9</f>
        <v>Jl. Contoh A. Yani No. 2, Banjarmasin</v>
      </c>
    </row>
    <row r="10" customFormat="false" ht="12.8" hidden="false" customHeight="false" outlineLevel="0" collapsed="false">
      <c r="C10" s="0" t="n">
        <f aca="false">ROW()-5</f>
        <v>5</v>
      </c>
      <c r="D10" s="0" t="s">
        <v>88</v>
      </c>
      <c r="E10" s="0" t="s">
        <v>89</v>
      </c>
      <c r="F10" s="0" t="s">
        <v>90</v>
      </c>
      <c r="G10" s="2" t="n">
        <v>46387</v>
      </c>
      <c r="H10" s="0" t="n">
        <f aca="true">IF(F10="","-",(TODAY()-F10)/365)</f>
        <v>2.73424657534247</v>
      </c>
      <c r="I10" s="0" t="n">
        <f aca="true">IF(G10="permanent","permanent",TODAY()-G10)</f>
        <v>-92</v>
      </c>
      <c r="J10" s="0" t="str">
        <f aca="false">IF(I10="permanent","permanent",IF(AND(I10&lt;0),"aktif","expired"))</f>
        <v>aktif</v>
      </c>
      <c r="K10" s="0" t="s">
        <v>91</v>
      </c>
      <c r="L10" s="0" t="s">
        <v>92</v>
      </c>
      <c r="M10" s="0" t="s">
        <v>93</v>
      </c>
      <c r="N10" s="0" t="s">
        <v>45</v>
      </c>
      <c r="O10" s="0" t="s">
        <v>46</v>
      </c>
      <c r="P10" s="0" t="str">
        <f aca="false">N10</f>
        <v>Kalimantan Tengah</v>
      </c>
      <c r="Q10" s="0" t="s">
        <v>94</v>
      </c>
      <c r="R10" s="2" t="n">
        <v>36163</v>
      </c>
      <c r="S10" s="0" t="n">
        <f aca="true">IF(R10="","-",(TODAY()-R10)/365)</f>
        <v>27.758904109589</v>
      </c>
      <c r="U10" s="0" t="s">
        <v>76</v>
      </c>
      <c r="V10" s="0" t="n">
        <v>1</v>
      </c>
      <c r="Y10" s="0" t="s">
        <v>95</v>
      </c>
      <c r="Z10" s="0" t="s">
        <v>96</v>
      </c>
      <c r="AA10" s="0" t="s">
        <v>97</v>
      </c>
      <c r="AB10" s="0" t="s">
        <v>98</v>
      </c>
      <c r="AC10" s="0" t="s">
        <v>99</v>
      </c>
      <c r="AE10" s="0" t="s">
        <v>100</v>
      </c>
      <c r="AH10" s="0" t="s">
        <v>101</v>
      </c>
      <c r="AI10" s="0" t="s">
        <v>102</v>
      </c>
      <c r="AJ10" s="0" t="s">
        <v>103</v>
      </c>
      <c r="AK10" s="0" t="s">
        <v>104</v>
      </c>
    </row>
    <row r="11" customFormat="false" ht="12.8" hidden="false" customHeight="false" outlineLevel="0" collapsed="false">
      <c r="C11" s="0" t="n">
        <f aca="false">ROW()-5</f>
        <v>6</v>
      </c>
      <c r="D11" s="0" t="s">
        <v>105</v>
      </c>
      <c r="E11" s="0" t="s">
        <v>106</v>
      </c>
      <c r="F11" s="2" t="n">
        <v>45474</v>
      </c>
      <c r="G11" s="2" t="n">
        <v>46327</v>
      </c>
      <c r="H11" s="0" t="n">
        <f aca="true">IF(F11="","-",(TODAY()-F11)/365)</f>
        <v>2.24931506849315</v>
      </c>
      <c r="I11" s="0" t="n">
        <f aca="true">IF(G11="permanent","permanent",TODAY()-G11)</f>
        <v>-32</v>
      </c>
      <c r="J11" s="0" t="str">
        <f aca="false">IF(I11="permanent","permanent",IF(AND(I11&lt;0),"aktif","expired"))</f>
        <v>aktif</v>
      </c>
      <c r="K11" s="0" t="s">
        <v>107</v>
      </c>
      <c r="L11" s="0" t="s">
        <v>108</v>
      </c>
      <c r="M11" s="0" t="s">
        <v>93</v>
      </c>
      <c r="N11" s="0" t="s">
        <v>45</v>
      </c>
      <c r="O11" s="0" t="s">
        <v>46</v>
      </c>
      <c r="P11" s="0" t="str">
        <f aca="false">N11</f>
        <v>Kalimantan Tengah</v>
      </c>
      <c r="Q11" s="0" t="s">
        <v>109</v>
      </c>
      <c r="R11" s="2" t="n">
        <v>35775</v>
      </c>
      <c r="S11" s="0" t="n">
        <f aca="true">IF(R11="","-",(TODAY()-R11)/365)</f>
        <v>28.8219178082192</v>
      </c>
      <c r="U11" s="0" t="s">
        <v>110</v>
      </c>
      <c r="V11" s="0" t="s">
        <v>77</v>
      </c>
      <c r="Y11" s="0" t="s">
        <v>111</v>
      </c>
      <c r="Z11" s="0" t="s">
        <v>79</v>
      </c>
      <c r="AA11" s="0" t="s">
        <v>112</v>
      </c>
      <c r="AB11" s="0" t="s">
        <v>113</v>
      </c>
      <c r="AC11" s="0" t="s">
        <v>114</v>
      </c>
      <c r="AD11" s="0" t="s">
        <v>115</v>
      </c>
      <c r="AF11" s="0" t="s">
        <v>116</v>
      </c>
      <c r="AH11" s="0" t="s">
        <v>117</v>
      </c>
      <c r="AI11" s="0" t="s">
        <v>118</v>
      </c>
      <c r="AJ11" s="0" t="s">
        <v>119</v>
      </c>
      <c r="AK11" s="0" t="str">
        <f aca="false">AJ11</f>
        <v>Jl. Contoh Pemuda No. 4, Kuala Kapuas</v>
      </c>
    </row>
    <row r="12" customFormat="false" ht="12.8" hidden="false" customHeight="false" outlineLevel="0" collapsed="false">
      <c r="C12" s="0" t="n">
        <f aca="false">ROW()-5</f>
        <v>7</v>
      </c>
      <c r="D12" s="0" t="s">
        <v>120</v>
      </c>
      <c r="E12" s="0" t="s">
        <v>121</v>
      </c>
      <c r="F12" s="2" t="n">
        <v>45509</v>
      </c>
      <c r="G12" s="2" t="n">
        <v>46328</v>
      </c>
      <c r="H12" s="0" t="n">
        <f aca="true">IF(F12="","-",(TODAY()-F12)/365)</f>
        <v>2.15342465753425</v>
      </c>
      <c r="I12" s="0" t="n">
        <f aca="true">IF(G12="permanent","permanent",TODAY()-G12)</f>
        <v>-33</v>
      </c>
      <c r="J12" s="0" t="str">
        <f aca="false">IF(I12="permanent","permanent",IF(AND(I12&lt;0),"aktif","expired"))</f>
        <v>aktif</v>
      </c>
      <c r="L12" s="0" t="s">
        <v>122</v>
      </c>
      <c r="M12" s="0" t="s">
        <v>123</v>
      </c>
      <c r="N12" s="0" t="s">
        <v>45</v>
      </c>
      <c r="O12" s="0" t="s">
        <v>46</v>
      </c>
      <c r="P12" s="0" t="str">
        <f aca="false">N12</f>
        <v>Kalimantan Tengah</v>
      </c>
      <c r="S12" s="0" t="str">
        <f aca="true">IF(R12="","-",(TODAY()-R12)/365)</f>
        <v>-</v>
      </c>
      <c r="U12" s="0" t="s">
        <v>124</v>
      </c>
      <c r="Y12" s="0" t="s">
        <v>53</v>
      </c>
      <c r="Z12" s="0" t="s">
        <v>54</v>
      </c>
      <c r="AA12" s="0" t="s">
        <v>125</v>
      </c>
      <c r="AB12" s="0" t="s">
        <v>126</v>
      </c>
      <c r="AC12" s="0" t="s">
        <v>127</v>
      </c>
      <c r="AH12" s="0" t="s">
        <v>128</v>
      </c>
      <c r="AI12" s="0" t="s">
        <v>69</v>
      </c>
    </row>
    <row r="13" customFormat="false" ht="12.8" hidden="false" customHeight="false" outlineLevel="0" collapsed="false">
      <c r="C13" s="0" t="n">
        <f aca="false">ROW()-5</f>
        <v>8</v>
      </c>
      <c r="D13" s="0" t="s">
        <v>129</v>
      </c>
      <c r="E13" s="0" t="s">
        <v>130</v>
      </c>
      <c r="F13" s="2" t="n">
        <v>45579</v>
      </c>
      <c r="G13" s="2" t="n">
        <v>46308</v>
      </c>
      <c r="H13" s="0" t="n">
        <f aca="true">IF(F13="","-",(TODAY()-F13)/365)</f>
        <v>1.96164383561644</v>
      </c>
      <c r="I13" s="0" t="n">
        <f aca="true">IF(G13="permanent","permanent",TODAY()-G13)</f>
        <v>-13</v>
      </c>
      <c r="J13" s="0" t="str">
        <f aca="false">IF(I13="permanent","permanent",IF(AND(I13&lt;0),"aktif","expired"))</f>
        <v>aktif</v>
      </c>
      <c r="K13" s="0" t="s">
        <v>131</v>
      </c>
      <c r="L13" s="0" t="s">
        <v>132</v>
      </c>
      <c r="M13" s="0" t="s">
        <v>133</v>
      </c>
      <c r="N13" s="0" t="s">
        <v>134</v>
      </c>
      <c r="O13" s="0" t="s">
        <v>46</v>
      </c>
      <c r="P13" s="0" t="str">
        <f aca="false">N13</f>
        <v>Jakarta Selatan</v>
      </c>
      <c r="Q13" s="0" t="s">
        <v>135</v>
      </c>
      <c r="R13" s="2" t="n">
        <v>35185</v>
      </c>
      <c r="S13" s="0" t="n">
        <f aca="true">IF(R13="","-",(TODAY()-R13)/365)</f>
        <v>30.4383561643836</v>
      </c>
      <c r="U13" s="0" t="s">
        <v>76</v>
      </c>
      <c r="V13" s="0" t="n">
        <v>2</v>
      </c>
      <c r="Y13" s="0" t="s">
        <v>53</v>
      </c>
      <c r="Z13" s="0" t="s">
        <v>79</v>
      </c>
      <c r="AA13" s="0" t="s">
        <v>80</v>
      </c>
      <c r="AB13" s="0" t="s">
        <v>136</v>
      </c>
      <c r="AC13" s="0" t="s">
        <v>137</v>
      </c>
      <c r="AH13" s="0" t="s">
        <v>138</v>
      </c>
      <c r="AI13" s="0" t="s">
        <v>69</v>
      </c>
      <c r="AJ13" s="0" t="s">
        <v>139</v>
      </c>
      <c r="AK13" s="0" t="str">
        <f aca="false">AJ13</f>
        <v>Jl. Contoh Gatot Subroto No. 6, Jakarta Selatan</v>
      </c>
    </row>
    <row r="14" customFormat="false" ht="12.8" hidden="false" customHeight="false" outlineLevel="0" collapsed="false">
      <c r="C14" s="0" t="n">
        <f aca="false">ROW()-5</f>
        <v>9</v>
      </c>
      <c r="D14" s="0" t="s">
        <v>140</v>
      </c>
      <c r="E14" s="0" t="s">
        <v>141</v>
      </c>
      <c r="F14" s="2" t="n">
        <v>45663</v>
      </c>
      <c r="G14" s="2" t="n">
        <v>46234</v>
      </c>
      <c r="H14" s="0" t="n">
        <f aca="true">IF(F14="","-",(TODAY()-F14)/365)</f>
        <v>1.73150684931507</v>
      </c>
      <c r="I14" s="0" t="n">
        <f aca="true">IF(G14="permanent","permanent",TODAY()-G14)</f>
        <v>61</v>
      </c>
      <c r="J14" s="0" t="str">
        <f aca="false">IF(I14="permanent","permanent",IF(AND(I14&lt;0),"aktif","expired"))</f>
        <v>expired</v>
      </c>
      <c r="K14" s="0" t="s">
        <v>50</v>
      </c>
      <c r="L14" s="0" t="s">
        <v>43</v>
      </c>
      <c r="M14" s="0" t="s">
        <v>44</v>
      </c>
      <c r="N14" s="0" t="s">
        <v>45</v>
      </c>
      <c r="O14" s="0" t="s">
        <v>142</v>
      </c>
      <c r="P14" s="0" t="str">
        <f aca="false">N14</f>
        <v>Kalimantan Tengah</v>
      </c>
      <c r="S14" s="0" t="str">
        <f aca="true">IF(R14="","-",(TODAY()-R14)/365)</f>
        <v>-</v>
      </c>
      <c r="Y14" s="0" t="s">
        <v>53</v>
      </c>
      <c r="Z14" s="0" t="s">
        <v>54</v>
      </c>
      <c r="AA14" s="0" t="s">
        <v>125</v>
      </c>
      <c r="AB14" s="0" t="s">
        <v>143</v>
      </c>
      <c r="AC14" s="0" t="s">
        <v>144</v>
      </c>
      <c r="AH14" s="0" t="s">
        <v>145</v>
      </c>
      <c r="AI14" s="0" t="s">
        <v>86</v>
      </c>
    </row>
    <row r="15" customFormat="false" ht="12.8" hidden="false" customHeight="false" outlineLevel="0" collapsed="false">
      <c r="C15" s="0" t="n">
        <f aca="false">ROW()-5</f>
        <v>10</v>
      </c>
    </row>
    <row r="16" customFormat="false" ht="12.8" hidden="false" customHeight="false" outlineLevel="0" collapsed="false">
      <c r="C16" s="0" t="n">
        <f aca="false">ROW()-5</f>
        <v>11</v>
      </c>
    </row>
    <row r="17" customFormat="false" ht="12.8" hidden="false" customHeight="false" outlineLevel="0" collapsed="false">
      <c r="C17" s="0" t="n">
        <f aca="false">ROW()-5</f>
        <v>12</v>
      </c>
    </row>
    <row r="18" customFormat="false" ht="12.8" hidden="false" customHeight="false" outlineLevel="0" collapsed="false">
      <c r="C18" s="0" t="n">
        <f aca="false">ROW()-5</f>
        <v>13</v>
      </c>
    </row>
    <row r="19" customFormat="false" ht="12.8" hidden="false" customHeight="false" outlineLevel="0" collapsed="false">
      <c r="C19" s="0" t="n">
        <f aca="false">ROW()-5</f>
        <v>14</v>
      </c>
    </row>
    <row r="20" customFormat="false" ht="12.8" hidden="false" customHeight="false" outlineLevel="0" collapsed="false">
      <c r="C20" s="0" t="n">
        <f aca="false">ROW()-5</f>
        <v>15</v>
      </c>
    </row>
    <row r="21" customFormat="false" ht="12.8" hidden="false" customHeight="false" outlineLevel="0" collapsed="false">
      <c r="C21" s="0" t="n">
        <f aca="false">ROW()-5</f>
        <v>16</v>
      </c>
    </row>
    <row r="22" customFormat="false" ht="12.8" hidden="false" customHeight="false" outlineLevel="0" collapsed="false">
      <c r="C22" s="0" t="n">
        <f aca="false">ROW()-5</f>
        <v>17</v>
      </c>
    </row>
    <row r="23" customFormat="false" ht="12.8" hidden="false" customHeight="false" outlineLevel="0" collapsed="false">
      <c r="C23" s="0" t="n">
        <f aca="false">ROW()-5</f>
        <v>18</v>
      </c>
    </row>
    <row r="24" customFormat="false" ht="12.8" hidden="false" customHeight="false" outlineLevel="0" collapsed="false">
      <c r="C24" s="0" t="n">
        <f aca="false">ROW()-5</f>
        <v>19</v>
      </c>
    </row>
    <row r="25" customFormat="false" ht="12.8" hidden="false" customHeight="false" outlineLevel="0" collapsed="false">
      <c r="C25" s="0" t="n">
        <f aca="false">ROW()-5</f>
        <v>20</v>
      </c>
    </row>
    <row r="26" customFormat="false" ht="12.8" hidden="false" customHeight="false" outlineLevel="0" collapsed="false">
      <c r="C26" s="0" t="n">
        <f aca="false">ROW()-5</f>
        <v>21</v>
      </c>
    </row>
    <row r="27" customFormat="false" ht="12.8" hidden="false" customHeight="false" outlineLevel="0" collapsed="false">
      <c r="C27" s="0" t="n">
        <f aca="false">ROW()-5</f>
        <v>22</v>
      </c>
    </row>
    <row r="28" customFormat="false" ht="12.8" hidden="false" customHeight="false" outlineLevel="0" collapsed="false">
      <c r="C28" s="0" t="n">
        <f aca="false">ROW()-5</f>
        <v>23</v>
      </c>
    </row>
    <row r="29" customFormat="false" ht="12.8" hidden="false" customHeight="false" outlineLevel="0" collapsed="false">
      <c r="C29" s="0" t="n">
        <f aca="false">ROW()-5</f>
        <v>24</v>
      </c>
    </row>
    <row r="30" customFormat="false" ht="12.8" hidden="false" customHeight="false" outlineLevel="0" collapsed="false">
      <c r="C30" s="0" t="n">
        <f aca="false">ROW()-5</f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2026-09-30T16:46:04Z</dcterms:modified>
  <cp:revision>1</cp:revision>
  <dc:subject/>
  <dc:title/>
</cp:coreProperties>
</file>